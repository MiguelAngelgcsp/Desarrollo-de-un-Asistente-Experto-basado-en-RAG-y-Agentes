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8_{B5550EA2-762B-419D-ABBE-7AE6AB2739F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Baseline" sheetId="1" r:id="rId1"/>
    <sheet name="Comparació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" i="2" l="1"/>
  <c r="D5" i="2"/>
  <c r="D4" i="2"/>
  <c r="D3" i="2"/>
  <c r="G18" i="1"/>
  <c r="B5" i="2" s="1"/>
  <c r="F18" i="1"/>
  <c r="B4" i="2" s="1"/>
  <c r="E18" i="1"/>
  <c r="B3" i="2" s="1"/>
  <c r="D18" i="1"/>
  <c r="B2" i="2" s="1"/>
</calcChain>
</file>

<file path=xl/sharedStrings.xml><?xml version="1.0" encoding="utf-8"?>
<sst xmlns="http://schemas.openxmlformats.org/spreadsheetml/2006/main" count="66" uniqueCount="46">
  <si>
    <t>ID</t>
  </si>
  <si>
    <t>Pregunta</t>
  </si>
  <si>
    <t>Categoría</t>
  </si>
  <si>
    <t>Faithfulness</t>
  </si>
  <si>
    <t>Answer relevancy</t>
  </si>
  <si>
    <t>Context precision</t>
  </si>
  <si>
    <t>Context recall</t>
  </si>
  <si>
    <t>Q01</t>
  </si>
  <si>
    <t>¿Cuáles son los dos objetivos principales de la Fase Preliminar según TOGAF?</t>
  </si>
  <si>
    <t>togaf</t>
  </si>
  <si>
    <t>Q02</t>
  </si>
  <si>
    <t>¿Cuáles son los cuatro marcos de gestión (management frameworks) principales con los que TOGAF sugiere coordinarse en la Fase Preliminar?</t>
  </si>
  <si>
    <t>Q03</t>
  </si>
  <si>
    <t>Según la sección de entradas (Inputs) de la Fase Preliminar, ¿cuáles son las fuentes principales externas a la arquitectura (Non-Architectural Inputs)?</t>
  </si>
  <si>
    <t>Q04</t>
  </si>
  <si>
    <t>¿Qué aspectos se deben considerar para adaptar (tailor) el marco de trabajo TOGAF en el paso 6.4.5 de la Fase Preliminar?</t>
  </si>
  <si>
    <t>Q05</t>
  </si>
  <si>
    <t>¿Cuáles son los objetivos principales de la Fase A (Architecture Vision)?</t>
  </si>
  <si>
    <t>Q06</t>
  </si>
  <si>
    <t>¿Cuáles son las entradas no arquitectónicas (Non-Architectural Inputs) requeridas en la Fase A?</t>
  </si>
  <si>
    <t>Q07</t>
  </si>
  <si>
    <t>¿Qué es la Petición de Trabajo de Arquitectura (Request for Architecture Work) y qué función cumple en la Fase A?</t>
  </si>
  <si>
    <t>Q08</t>
  </si>
  <si>
    <t>¿Qué documento formal se aprueba al finalizar la Fase A para autorizar el programa de trabajo de arquitectura?</t>
  </si>
  <si>
    <t>Q09</t>
  </si>
  <si>
    <t>¿Cuál es el propósito principal de desarrollar la Arquitectura de Negocio en la Fase B?</t>
  </si>
  <si>
    <t>Q10</t>
  </si>
  <si>
    <t>¿Qué técnicas o modelos de modelado de negocio se sugieren emplear en el enfoque de la Fase B?</t>
  </si>
  <si>
    <t>Q11</t>
  </si>
  <si>
    <t>¿Cuáles son los subdominios que componen la Fase C (Information Systems Architectures)?</t>
  </si>
  <si>
    <t>Q12</t>
  </si>
  <si>
    <t>¿Cuáles son las tres dimensiones clave descritas para la gobernanza de datos en la Fase C (Arquitectura de Datos)?</t>
  </si>
  <si>
    <t>Q13</t>
  </si>
  <si>
    <t>¿Cuáles son los entregables o productos finales contenedores producidos al completar la Fase C?</t>
  </si>
  <si>
    <t>Q14</t>
  </si>
  <si>
    <t>¿Qué es el ADM en TOGAF y para qué sirve?</t>
  </si>
  <si>
    <t>Q15</t>
  </si>
  <si>
    <t>¿Cuáles son las cuatro dimensiones que se usan para definir y limitar el alcance de una arquitectura en TOGAF?</t>
  </si>
  <si>
    <t>Q16</t>
  </si>
  <si>
    <t>¿Qué indican los números de versión 0.1 y 1.0 en la convención de numeración del ADM para los entregables de arquitectura?</t>
  </si>
  <si>
    <t>Promedio</t>
  </si>
  <si>
    <t>Métrica</t>
  </si>
  <si>
    <t>Δ</t>
  </si>
  <si>
    <t>no re-medida</t>
  </si>
  <si>
    <t>Antes (base-top_k=5)</t>
  </si>
  <si>
    <t>Después (iteración- top_k=3)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</si>
</sst>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i/>
      <sz val="11"/>
      <name val="Arial"/>
      <charset val="1"/>
    </font>
    <font>
      <sz val="11"/>
      <color rgb="FF0000FF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99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2" fontId="2" fillId="0" borderId="1" xfId="0" applyNumberFormat="1" applyFont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2" fontId="3" fillId="3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="70" zoomScaleNormal="70" workbookViewId="0">
      <pane ySplit="1" topLeftCell="A2" activePane="bottomLeft" state="frozen"/>
      <selection pane="bottomLeft" activeCell="R6" sqref="R6"/>
    </sheetView>
  </sheetViews>
  <sheetFormatPr baseColWidth="10" defaultColWidth="8.6640625" defaultRowHeight="14.4" x14ac:dyDescent="0.3"/>
  <cols>
    <col min="1" max="1" width="10" customWidth="1"/>
    <col min="2" max="2" width="70" customWidth="1"/>
    <col min="3" max="3" width="16" customWidth="1"/>
    <col min="4" max="4" width="14" customWidth="1"/>
    <col min="5" max="6" width="16" customWidth="1"/>
    <col min="7" max="7" width="14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.6" x14ac:dyDescent="0.3">
      <c r="A2" s="2" t="s">
        <v>7</v>
      </c>
      <c r="B2" s="3" t="s">
        <v>8</v>
      </c>
      <c r="C2" s="2" t="s">
        <v>9</v>
      </c>
      <c r="D2" s="4">
        <v>1</v>
      </c>
      <c r="E2" s="4">
        <v>0.99299999999999999</v>
      </c>
      <c r="F2" s="4">
        <v>0.26700000000000002</v>
      </c>
      <c r="G2" s="4">
        <v>1</v>
      </c>
    </row>
    <row r="3" spans="1:7" ht="27.6" x14ac:dyDescent="0.3">
      <c r="A3" s="2" t="s">
        <v>10</v>
      </c>
      <c r="B3" s="3" t="s">
        <v>11</v>
      </c>
      <c r="C3" s="2" t="s">
        <v>9</v>
      </c>
      <c r="D3" s="4">
        <v>1</v>
      </c>
      <c r="E3" s="4">
        <v>0.97499999999999998</v>
      </c>
      <c r="F3" s="4">
        <v>0.14599999999999999</v>
      </c>
      <c r="G3" s="4">
        <v>1</v>
      </c>
    </row>
    <row r="4" spans="1:7" ht="27.6" x14ac:dyDescent="0.3">
      <c r="A4" s="2" t="s">
        <v>12</v>
      </c>
      <c r="B4" s="3" t="s">
        <v>13</v>
      </c>
      <c r="C4" s="2" t="s">
        <v>9</v>
      </c>
      <c r="D4" s="4">
        <v>0</v>
      </c>
      <c r="E4" s="4">
        <v>0</v>
      </c>
      <c r="F4" s="4">
        <v>0</v>
      </c>
      <c r="G4" s="4">
        <v>0</v>
      </c>
    </row>
    <row r="5" spans="1:7" ht="27.6" x14ac:dyDescent="0.3">
      <c r="A5" s="2" t="s">
        <v>14</v>
      </c>
      <c r="B5" s="3" t="s">
        <v>15</v>
      </c>
      <c r="C5" s="2" t="s">
        <v>9</v>
      </c>
      <c r="D5" s="4">
        <v>0.85699999999999998</v>
      </c>
      <c r="E5" s="4">
        <v>0.997</v>
      </c>
      <c r="F5" s="4">
        <v>0</v>
      </c>
      <c r="G5" s="4">
        <v>0</v>
      </c>
    </row>
    <row r="6" spans="1:7" x14ac:dyDescent="0.3">
      <c r="A6" s="2" t="s">
        <v>16</v>
      </c>
      <c r="B6" s="3" t="s">
        <v>17</v>
      </c>
      <c r="C6" s="2" t="s">
        <v>9</v>
      </c>
      <c r="D6" s="4">
        <v>1</v>
      </c>
      <c r="E6" s="4">
        <v>0.85599999999999998</v>
      </c>
      <c r="F6" s="4">
        <v>0.32700000000000001</v>
      </c>
      <c r="G6" s="4">
        <v>1</v>
      </c>
    </row>
    <row r="7" spans="1:7" ht="27.6" x14ac:dyDescent="0.3">
      <c r="A7" s="2" t="s">
        <v>18</v>
      </c>
      <c r="B7" s="3" t="s">
        <v>19</v>
      </c>
      <c r="C7" s="2" t="s">
        <v>9</v>
      </c>
      <c r="D7" s="4">
        <v>1</v>
      </c>
      <c r="E7" s="4">
        <v>0.53200000000000003</v>
      </c>
      <c r="F7" s="4">
        <v>0</v>
      </c>
      <c r="G7" s="4">
        <v>0</v>
      </c>
    </row>
    <row r="8" spans="1:7" ht="27.6" x14ac:dyDescent="0.3">
      <c r="A8" s="2" t="s">
        <v>20</v>
      </c>
      <c r="B8" s="3" t="s">
        <v>21</v>
      </c>
      <c r="C8" s="2" t="s">
        <v>9</v>
      </c>
      <c r="D8" s="4">
        <v>0.66700000000000004</v>
      </c>
      <c r="E8" s="4">
        <v>0.81299999999999994</v>
      </c>
      <c r="F8" s="4">
        <v>0</v>
      </c>
      <c r="G8" s="4">
        <v>0</v>
      </c>
    </row>
    <row r="9" spans="1:7" ht="27.6" x14ac:dyDescent="0.3">
      <c r="A9" s="2" t="s">
        <v>22</v>
      </c>
      <c r="B9" s="3" t="s">
        <v>23</v>
      </c>
      <c r="C9" s="2" t="s">
        <v>9</v>
      </c>
      <c r="D9" s="4">
        <v>1</v>
      </c>
      <c r="E9" s="4">
        <v>0</v>
      </c>
      <c r="F9" s="4">
        <v>0</v>
      </c>
      <c r="G9" s="4">
        <v>0</v>
      </c>
    </row>
    <row r="10" spans="1:7" ht="27.6" x14ac:dyDescent="0.3">
      <c r="A10" s="2" t="s">
        <v>24</v>
      </c>
      <c r="B10" s="3" t="s">
        <v>25</v>
      </c>
      <c r="C10" s="2" t="s">
        <v>9</v>
      </c>
      <c r="D10" s="4">
        <v>1</v>
      </c>
      <c r="E10" s="4">
        <v>0.76100000000000001</v>
      </c>
      <c r="F10" s="4">
        <v>0.5</v>
      </c>
      <c r="G10" s="4">
        <v>1</v>
      </c>
    </row>
    <row r="11" spans="1:7" ht="27.6" x14ac:dyDescent="0.3">
      <c r="A11" s="2" t="s">
        <v>26</v>
      </c>
      <c r="B11" s="3" t="s">
        <v>27</v>
      </c>
      <c r="C11" s="2" t="s">
        <v>9</v>
      </c>
      <c r="D11" s="4">
        <v>0.5</v>
      </c>
      <c r="E11" s="4">
        <v>0.61699999999999999</v>
      </c>
      <c r="F11" s="4">
        <v>0.111</v>
      </c>
      <c r="G11" s="4">
        <v>0</v>
      </c>
    </row>
    <row r="12" spans="1:7" ht="27.6" x14ac:dyDescent="0.3">
      <c r="A12" s="2" t="s">
        <v>28</v>
      </c>
      <c r="B12" s="3" t="s">
        <v>29</v>
      </c>
      <c r="C12" s="2" t="s">
        <v>9</v>
      </c>
      <c r="D12" s="4">
        <v>0</v>
      </c>
      <c r="E12" s="4">
        <v>0</v>
      </c>
      <c r="F12" s="4">
        <v>0</v>
      </c>
      <c r="G12" s="4">
        <v>0</v>
      </c>
    </row>
    <row r="13" spans="1:7" ht="27.6" x14ac:dyDescent="0.3">
      <c r="A13" s="2" t="s">
        <v>30</v>
      </c>
      <c r="B13" s="3" t="s">
        <v>31</v>
      </c>
      <c r="C13" s="2" t="s">
        <v>9</v>
      </c>
      <c r="D13" s="4">
        <v>1</v>
      </c>
      <c r="E13" s="4">
        <v>0.69499999999999995</v>
      </c>
      <c r="F13" s="4">
        <v>0.16700000000000001</v>
      </c>
      <c r="G13" s="4">
        <v>1</v>
      </c>
    </row>
    <row r="14" spans="1:7" ht="27.6" x14ac:dyDescent="0.3">
      <c r="A14" s="2" t="s">
        <v>32</v>
      </c>
      <c r="B14" s="3" t="s">
        <v>33</v>
      </c>
      <c r="C14" s="2" t="s">
        <v>9</v>
      </c>
      <c r="D14" s="4">
        <v>0</v>
      </c>
      <c r="E14" s="4">
        <v>0</v>
      </c>
      <c r="F14" s="4">
        <v>0</v>
      </c>
      <c r="G14" s="4">
        <v>0</v>
      </c>
    </row>
    <row r="15" spans="1:7" x14ac:dyDescent="0.3">
      <c r="A15" s="2" t="s">
        <v>34</v>
      </c>
      <c r="B15" s="3" t="s">
        <v>35</v>
      </c>
      <c r="C15" s="2" t="s">
        <v>9</v>
      </c>
      <c r="D15" s="4">
        <v>1</v>
      </c>
      <c r="E15" s="4">
        <v>0.96499999999999997</v>
      </c>
      <c r="F15" s="4">
        <v>1</v>
      </c>
      <c r="G15" s="4">
        <v>1</v>
      </c>
    </row>
    <row r="16" spans="1:7" ht="27.6" x14ac:dyDescent="0.3">
      <c r="A16" s="2" t="s">
        <v>36</v>
      </c>
      <c r="B16" s="3" t="s">
        <v>37</v>
      </c>
      <c r="C16" s="2" t="s">
        <v>9</v>
      </c>
      <c r="D16" s="4">
        <v>0</v>
      </c>
      <c r="E16" s="4">
        <v>0</v>
      </c>
      <c r="F16" s="4">
        <v>0</v>
      </c>
      <c r="G16" s="4">
        <v>1</v>
      </c>
    </row>
    <row r="17" spans="1:7" ht="27.6" x14ac:dyDescent="0.3">
      <c r="A17" s="2" t="s">
        <v>38</v>
      </c>
      <c r="B17" s="3" t="s">
        <v>39</v>
      </c>
      <c r="C17" s="2" t="s">
        <v>9</v>
      </c>
      <c r="D17" s="4">
        <v>1</v>
      </c>
      <c r="E17" s="4">
        <v>0.80400000000000005</v>
      </c>
      <c r="F17" s="4">
        <v>0.33300000000000002</v>
      </c>
      <c r="G17" s="4">
        <v>1</v>
      </c>
    </row>
    <row r="18" spans="1:7" x14ac:dyDescent="0.3">
      <c r="A18" s="5" t="s">
        <v>40</v>
      </c>
      <c r="B18" s="6"/>
      <c r="C18" s="5"/>
      <c r="D18" s="7">
        <f>AVERAGE(D2:D17)</f>
        <v>0.68900000000000006</v>
      </c>
      <c r="E18" s="7">
        <f>AVERAGE(E2:E17)</f>
        <v>0.56300000000000006</v>
      </c>
      <c r="F18" s="7">
        <f>AVERAGE(F2:F17)</f>
        <v>0.1781875</v>
      </c>
      <c r="G18" s="7">
        <f>AVERAGE(G2:G17)</f>
        <v>0.5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zoomScaleNormal="100" workbookViewId="0">
      <selection activeCell="D10" sqref="D10"/>
    </sheetView>
  </sheetViews>
  <sheetFormatPr baseColWidth="10" defaultColWidth="8.6640625" defaultRowHeight="14.4" x14ac:dyDescent="0.3"/>
  <cols>
    <col min="1" max="1" width="22" customWidth="1"/>
    <col min="2" max="2" width="16" customWidth="1"/>
    <col min="3" max="3" width="22" customWidth="1"/>
    <col min="4" max="4" width="10" customWidth="1"/>
  </cols>
  <sheetData>
    <row r="1" spans="1:4" ht="28.2" x14ac:dyDescent="0.3">
      <c r="A1" s="8" t="s">
        <v>41</v>
      </c>
      <c r="B1" s="14" t="s">
        <v>44</v>
      </c>
      <c r="C1" s="14" t="s">
        <v>45</v>
      </c>
      <c r="D1" s="8" t="s">
        <v>42</v>
      </c>
    </row>
    <row r="2" spans="1:4" x14ac:dyDescent="0.3">
      <c r="A2" s="9" t="s">
        <v>3</v>
      </c>
      <c r="B2" s="10">
        <f>ROUND(Baseline!D18,3)</f>
        <v>0.68899999999999995</v>
      </c>
      <c r="C2" s="11" t="s">
        <v>43</v>
      </c>
      <c r="D2" s="10" t="e">
        <f>IF(C2="","",C2-B2)</f>
        <v>#VALUE!</v>
      </c>
    </row>
    <row r="3" spans="1:4" x14ac:dyDescent="0.3">
      <c r="A3" s="9" t="s">
        <v>4</v>
      </c>
      <c r="B3" s="10">
        <f>ROUND(Baseline!E18,3)</f>
        <v>0.56299999999999994</v>
      </c>
      <c r="C3" s="13" t="s">
        <v>43</v>
      </c>
      <c r="D3" s="10" t="e">
        <f>IF(C3="","",C3-B3)</f>
        <v>#VALUE!</v>
      </c>
    </row>
    <row r="4" spans="1:4" x14ac:dyDescent="0.3">
      <c r="A4" s="9" t="s">
        <v>5</v>
      </c>
      <c r="B4" s="10">
        <f>ROUND(Baseline!F18,3)</f>
        <v>0.17799999999999999</v>
      </c>
      <c r="C4" s="13">
        <v>0.107</v>
      </c>
      <c r="D4" s="10">
        <f>IF(C4="","",C4-B4)</f>
        <v>-7.0999999999999994E-2</v>
      </c>
    </row>
    <row r="5" spans="1:4" x14ac:dyDescent="0.3">
      <c r="A5" s="9" t="s">
        <v>6</v>
      </c>
      <c r="B5" s="10">
        <f>ROUND(Baseline!G18,3)</f>
        <v>0.5</v>
      </c>
      <c r="C5" s="11">
        <v>0.28100000000000003</v>
      </c>
      <c r="D5" s="10">
        <f>IF(C5="","",C5-B5)</f>
        <v>-0.21899999999999997</v>
      </c>
    </row>
    <row r="7" spans="1:4" x14ac:dyDescent="0.3">
      <c r="A7" s="12"/>
    </row>
    <row r="8" spans="1:4" x14ac:dyDescent="0.3">
      <c r="A8" s="1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Baseline</vt:lpstr>
      <vt:lpstr>Comparación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Miguel Angel Correa Muñoz</cp:lastModifiedBy>
  <cp:revision>0</cp:revision>
  <dcterms:created xsi:type="dcterms:W3CDTF">2026-10-09T21:58:40Z</dcterms:created>
  <dcterms:modified xsi:type="dcterms:W3CDTF">2026-10-10T02:03:17Z</dcterms:modified>
  <dc:language>en-US</dc:language>
</cp:coreProperties>
</file>